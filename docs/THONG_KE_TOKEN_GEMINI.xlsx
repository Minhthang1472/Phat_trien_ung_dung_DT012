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Phat_trien_ung_dung_DT012\docs\"/>
    </mc:Choice>
  </mc:AlternateContent>
  <xr:revisionPtr revIDLastSave="0" documentId="13_ncr:1_{702AF139-278B-45A7-98C4-2DA7ECD1A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uong dan" sheetId="1" r:id="rId1"/>
    <sheet name="Uoc tinh" sheetId="2" r:id="rId2"/>
    <sheet name="Kich ban" sheetId="3" r:id="rId3"/>
    <sheet name="Nhap lieu thuc te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4" l="1"/>
  <c r="H17" i="4" s="1"/>
  <c r="D17" i="4"/>
  <c r="G17" i="4" s="1"/>
  <c r="E16" i="4"/>
  <c r="H16" i="4" s="1"/>
  <c r="D16" i="4"/>
  <c r="G16" i="4" s="1"/>
  <c r="E15" i="4"/>
  <c r="H15" i="4" s="1"/>
  <c r="D15" i="4"/>
  <c r="G15" i="4" s="1"/>
  <c r="E14" i="4"/>
  <c r="H14" i="4" s="1"/>
  <c r="D14" i="4"/>
  <c r="G14" i="4" s="1"/>
  <c r="E13" i="4"/>
  <c r="H13" i="4" s="1"/>
  <c r="D13" i="4"/>
  <c r="G13" i="4" s="1"/>
  <c r="E12" i="4"/>
  <c r="H12" i="4" s="1"/>
  <c r="D12" i="4"/>
  <c r="G12" i="4" s="1"/>
  <c r="E11" i="4"/>
  <c r="H11" i="4" s="1"/>
  <c r="D11" i="4"/>
  <c r="G11" i="4" s="1"/>
  <c r="E10" i="4"/>
  <c r="H10" i="4" s="1"/>
  <c r="D10" i="4"/>
  <c r="G10" i="4" s="1"/>
  <c r="E9" i="4"/>
  <c r="H9" i="4" s="1"/>
  <c r="D9" i="4"/>
  <c r="G9" i="4" s="1"/>
  <c r="E8" i="4"/>
  <c r="H8" i="4" s="1"/>
  <c r="D8" i="4"/>
  <c r="G8" i="4" s="1"/>
  <c r="E7" i="4"/>
  <c r="H7" i="4" s="1"/>
  <c r="D7" i="4"/>
  <c r="G7" i="4" s="1"/>
  <c r="E6" i="4"/>
  <c r="H6" i="4" s="1"/>
  <c r="D6" i="4"/>
  <c r="G6" i="4" s="1"/>
  <c r="E5" i="4"/>
  <c r="H5" i="4" s="1"/>
  <c r="D5" i="4"/>
  <c r="G5" i="4" s="1"/>
  <c r="E4" i="4"/>
  <c r="H4" i="4" s="1"/>
  <c r="D4" i="4"/>
  <c r="G4" i="4" s="1"/>
  <c r="E3" i="4"/>
  <c r="H3" i="4" s="1"/>
  <c r="D3" i="4"/>
  <c r="G3" i="4" s="1"/>
  <c r="E2" i="4"/>
  <c r="H2" i="4" s="1"/>
  <c r="D2" i="4"/>
  <c r="G2" i="4" s="1"/>
  <c r="J4" i="3"/>
  <c r="I4" i="3"/>
  <c r="H4" i="3"/>
  <c r="G4" i="3"/>
  <c r="F4" i="3"/>
  <c r="J3" i="3"/>
  <c r="I3" i="3"/>
  <c r="H3" i="3"/>
  <c r="G3" i="3"/>
  <c r="F3" i="3"/>
  <c r="J2" i="3"/>
  <c r="I2" i="3"/>
  <c r="H2" i="3"/>
  <c r="G2" i="3"/>
  <c r="F2" i="3"/>
  <c r="G6" i="2"/>
  <c r="J6" i="2" s="1"/>
  <c r="E6" i="2"/>
  <c r="C6" i="2"/>
  <c r="D6" i="2" s="1"/>
  <c r="G5" i="2"/>
  <c r="J5" i="2" s="1"/>
  <c r="E5" i="2"/>
  <c r="C5" i="2"/>
  <c r="D5" i="2" s="1"/>
  <c r="G4" i="2"/>
  <c r="J4" i="2" s="1"/>
  <c r="E4" i="2"/>
  <c r="C4" i="2"/>
  <c r="D4" i="2" s="1"/>
  <c r="G3" i="2"/>
  <c r="J3" i="2" s="1"/>
  <c r="E3" i="2"/>
  <c r="C3" i="2"/>
  <c r="D3" i="2" s="1"/>
  <c r="F3" i="2" s="1"/>
  <c r="G2" i="2"/>
  <c r="J2" i="2" s="1"/>
  <c r="E2" i="2"/>
  <c r="C2" i="2"/>
  <c r="D2" i="2" s="1"/>
  <c r="F4" i="2" l="1"/>
  <c r="F2" i="2"/>
  <c r="H2" i="2" s="1"/>
  <c r="F8" i="4"/>
  <c r="I11" i="4"/>
  <c r="F5" i="2"/>
  <c r="I5" i="2" s="1"/>
  <c r="I3" i="4"/>
  <c r="K5" i="2"/>
  <c r="I4" i="4"/>
  <c r="I2" i="4"/>
  <c r="F6" i="4"/>
  <c r="I10" i="4"/>
  <c r="F14" i="4"/>
  <c r="I17" i="4"/>
  <c r="I12" i="4"/>
  <c r="F4" i="4"/>
  <c r="I8" i="4"/>
  <c r="I9" i="4"/>
  <c r="F12" i="4"/>
  <c r="I16" i="4"/>
  <c r="I5" i="4"/>
  <c r="I13" i="4"/>
  <c r="F6" i="2"/>
  <c r="H6" i="2" s="1"/>
  <c r="F2" i="4"/>
  <c r="I6" i="4"/>
  <c r="I7" i="4"/>
  <c r="F10" i="4"/>
  <c r="I14" i="4"/>
  <c r="I15" i="4"/>
  <c r="I2" i="2"/>
  <c r="K2" i="2" s="1"/>
  <c r="I3" i="2"/>
  <c r="K3" i="2" s="1"/>
  <c r="H3" i="2"/>
  <c r="H4" i="2"/>
  <c r="I4" i="2"/>
  <c r="K4" i="2" s="1"/>
  <c r="H5" i="2"/>
  <c r="F3" i="4"/>
  <c r="F7" i="4"/>
  <c r="F13" i="4"/>
  <c r="F17" i="4"/>
  <c r="F5" i="4"/>
  <c r="F9" i="4"/>
  <c r="F11" i="4"/>
  <c r="F15" i="4"/>
  <c r="F16" i="4"/>
  <c r="I6" i="2" l="1"/>
  <c r="K6" i="2" s="1"/>
</calcChain>
</file>

<file path=xl/sharedStrings.xml><?xml version="1.0" encoding="utf-8"?>
<sst xmlns="http://schemas.openxmlformats.org/spreadsheetml/2006/main" count="111" uniqueCount="89">
  <si>
    <t>THỐNG KÊ TOKEN GEMINI THEO THỜI LƯỢNG VIDEO</t>
  </si>
  <si>
    <t>Mục đích</t>
  </si>
  <si>
    <t>Ước tính số token Gemini cho transcript và bản tóm tắt theo thời lượng video.</t>
  </si>
  <si>
    <t>Lưu ý</t>
  </si>
  <si>
    <t>Đây là ước tính. Token thực tế phụ thuộc ngôn ngữ, số từ/phút, prompt, output và cách chia chunk.</t>
  </si>
  <si>
    <t>Giả định mặc định</t>
  </si>
  <si>
    <t>Tốc độ nói trung bình (từ/phút)</t>
  </si>
  <si>
    <t>Có thể đổi theo video thực tế</t>
  </si>
  <si>
    <t>Token trung bình / từ</t>
  </si>
  <si>
    <t>Tiếng Việt thường dao động theo nội dung</t>
  </si>
  <si>
    <t>Prompt/system tokens mỗi request</t>
  </si>
  <si>
    <t>Prompt tóm tắt + JSON schema</t>
  </si>
  <si>
    <t>Output tokens mỗi request</t>
  </si>
  <si>
    <t>Summary, key points, quiz, mindmap, exercises</t>
  </si>
  <si>
    <t>Giá input USD / 1M tokens</t>
  </si>
  <si>
    <t>Giá tham khảo, cần cập nhật theo model/tài khoản</t>
  </si>
  <si>
    <t>Giá output USD / 1M tokens</t>
  </si>
  <si>
    <t>Cách dùng</t>
  </si>
  <si>
    <t>1. Chỉnh các ô màu vàng nếu có số liệu thực tế.</t>
  </si>
  <si>
    <t>2. Xem sheet 'Uoc tinh' để xem tổng input/output/chi phí.</t>
  </si>
  <si>
    <t>3. Ghi usage thực tế từ response API vào sheet 'Nhap lieu thuc te'.</t>
  </si>
  <si>
    <t>4. Nếu hệ thống chia transcript thành nhiều request, cộng thêm prompt tokens cho từng request.</t>
  </si>
  <si>
    <t>Thời lượng</t>
  </si>
  <si>
    <t>Phút</t>
  </si>
  <si>
    <t>Từ ước tính</t>
  </si>
  <si>
    <t>Input transcript tokens</t>
  </si>
  <si>
    <t>Prompt tokens</t>
  </si>
  <si>
    <t>Tổng input tokens</t>
  </si>
  <si>
    <t>Output tokens</t>
  </si>
  <si>
    <t>Tổng tokens</t>
  </si>
  <si>
    <t>Chi phí input USD</t>
  </si>
  <si>
    <t>Chi phí output USD</t>
  </si>
  <si>
    <t>Tổng chi phí USD</t>
  </si>
  <si>
    <t>5 phút</t>
  </si>
  <si>
    <t>10 phút</t>
  </si>
  <si>
    <t>20 phút</t>
  </si>
  <si>
    <t>30 phút</t>
  </si>
  <si>
    <t>1 giờ</t>
  </si>
  <si>
    <t>Kịch bản</t>
  </si>
  <si>
    <t>Từ/phút</t>
  </si>
  <si>
    <t>Token/từ</t>
  </si>
  <si>
    <t>Prompt/request</t>
  </si>
  <si>
    <t>Output/request</t>
  </si>
  <si>
    <t>5 phút tổng token</t>
  </si>
  <si>
    <t>10 phút tổng token</t>
  </si>
  <si>
    <t>20 phút tổng token</t>
  </si>
  <si>
    <t>30 phút tổng token</t>
  </si>
  <si>
    <t>60 phút tổng token</t>
  </si>
  <si>
    <t>Thấp</t>
  </si>
  <si>
    <t>Điển hình</t>
  </si>
  <si>
    <t>Cao</t>
  </si>
  <si>
    <t>Ngày</t>
  </si>
  <si>
    <t>Video/API request</t>
  </si>
  <si>
    <t>Thời lượng phút</t>
  </si>
  <si>
    <t>Input tokens</t>
  </si>
  <si>
    <t>Model</t>
  </si>
  <si>
    <t>Ghi chú</t>
  </si>
  <si>
    <t>Improve your Speaking and Conversational skills with me</t>
  </si>
  <si>
    <t>gemini-2.5-flash (estimate)</t>
  </si>
  <si>
    <t>Firebase transcript estimate; 674 condensed words; 72 segments</t>
  </si>
  <si>
    <t>45 Minute English Lesson: Vocabulary, Grammar, Pronunciation</t>
  </si>
  <si>
    <t>Firebase transcript estimate; 1713 condensed words; 729 segments</t>
  </si>
  <si>
    <t>Stop Learning Japanese. Watch This Instead.</t>
  </si>
  <si>
    <t>Firebase transcript estimate; 554 condensed words; 64 segments</t>
  </si>
  <si>
    <t>Improve your Speaking and Conversational skills with me / English Speaking Practice</t>
  </si>
  <si>
    <t>Firebase transcript estimate; 1165 condensed words; 65 segments</t>
  </si>
  <si>
    <t>Comprehensible Japanese - Let's learn Japanese in the park!! 【Beginner】 [rjmKQ-fjnyQ]</t>
  </si>
  <si>
    <t>Firebase transcript estimate; 512 condensed words; 85 segments</t>
  </si>
  <si>
    <t>30-Minute English Study Routine</t>
  </si>
  <si>
    <t>Firebase transcript estimate; 1716 condensed words; 316 segments</t>
  </si>
  <si>
    <t>Learn How to Think In English ( Stop Translating in Your Head )</t>
  </si>
  <si>
    <t>Firebase transcript estimate; 1701 condensed words; 110 segments</t>
  </si>
  <si>
    <t>How to Order Things in Japanese</t>
  </si>
  <si>
    <t>Firebase transcript estimate; 336 condensed words; 19 segments</t>
  </si>
  <si>
    <t>Do you forget words when you speak English | Please watch this video...</t>
  </si>
  <si>
    <t>Firebase transcript estimate; 833 condensed words; 99 segments</t>
  </si>
  <si>
    <t>Know My Name</t>
  </si>
  <si>
    <t>Firebase transcript estimate; 123 condensed words; 11 segments</t>
  </si>
  <si>
    <t>Firebase transcript estimate; 1674 condensed words; 284 segments</t>
  </si>
  <si>
    <t>The Japanese Interview - Real Real Japan</t>
  </si>
  <si>
    <t>Firebase transcript estimate; 385 condensed words; 99 segments</t>
  </si>
  <si>
    <t>How to Improve Your English Speaking Skills (by Yourself)</t>
  </si>
  <si>
    <t>Firebase transcript estimate; 924 condensed words; 70 segments</t>
  </si>
  <si>
    <t>Improve your English Speaking and Conversational Skills/ 45 min English Speaking Practice</t>
  </si>
  <si>
    <t>Firebase transcript estimate; 1718 condensed words; 253 segments</t>
  </si>
  <si>
    <t>How to Say Hello in Japanese</t>
  </si>
  <si>
    <t>Firebase transcript estimate; 421 condensed words; 53 segments</t>
  </si>
  <si>
    <t>Mr. Garvey Is Your Substitute Teacher - Key &amp; Peele</t>
  </si>
  <si>
    <t>Firebase transcript estimate; 976 condensed words; 163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</si>
</sst>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0000"/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Uoc_tinh" displayName="Table_Uoc_tinh" ref="A1:K6">
  <autoFilter ref="A1:K6" xr:uid="{00000000-0009-0000-0100-000001000000}"/>
  <tableColumns count="11">
    <tableColumn id="1" xr3:uid="{00000000-0010-0000-0000-000001000000}" name="Thời lượng"/>
    <tableColumn id="2" xr3:uid="{00000000-0010-0000-0000-000002000000}" name="Phút"/>
    <tableColumn id="3" xr3:uid="{00000000-0010-0000-0000-000003000000}" name="Từ ước tính"/>
    <tableColumn id="4" xr3:uid="{00000000-0010-0000-0000-000004000000}" name="Input transcript tokens"/>
    <tableColumn id="5" xr3:uid="{00000000-0010-0000-0000-000005000000}" name="Prompt tokens"/>
    <tableColumn id="6" xr3:uid="{00000000-0010-0000-0000-000006000000}" name="Tổng input tokens"/>
    <tableColumn id="7" xr3:uid="{00000000-0010-0000-0000-000007000000}" name="Output tokens"/>
    <tableColumn id="8" xr3:uid="{00000000-0010-0000-0000-000008000000}" name="Tổng tokens"/>
    <tableColumn id="9" xr3:uid="{00000000-0010-0000-0000-000009000000}" name="Chi phí input USD"/>
    <tableColumn id="10" xr3:uid="{00000000-0010-0000-0000-00000A000000}" name="Chi phí output USD"/>
    <tableColumn id="11" xr3:uid="{00000000-0010-0000-0000-00000B000000}" name="Tổng chi phí 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Kich_ban" displayName="Table_Kich_ban" ref="A1:J4">
  <autoFilter ref="A1:J4" xr:uid="{00000000-0009-0000-0100-000002000000}"/>
  <tableColumns count="10">
    <tableColumn id="1" xr3:uid="{00000000-0010-0000-0100-000001000000}" name="Kịch bản"/>
    <tableColumn id="2" xr3:uid="{00000000-0010-0000-0100-000002000000}" name="Từ/phút"/>
    <tableColumn id="3" xr3:uid="{00000000-0010-0000-0100-000003000000}" name="Token/từ"/>
    <tableColumn id="4" xr3:uid="{00000000-0010-0000-0100-000004000000}" name="Prompt/request"/>
    <tableColumn id="5" xr3:uid="{00000000-0010-0000-0100-000005000000}" name="Output/request"/>
    <tableColumn id="6" xr3:uid="{00000000-0010-0000-0100-000006000000}" name="5 phút tổng token"/>
    <tableColumn id="7" xr3:uid="{00000000-0010-0000-0100-000007000000}" name="10 phút tổng token"/>
    <tableColumn id="8" xr3:uid="{00000000-0010-0000-0100-000008000000}" name="20 phút tổng token"/>
    <tableColumn id="9" xr3:uid="{00000000-0010-0000-0100-000009000000}" name="30 phút tổng token"/>
    <tableColumn id="10" xr3:uid="{00000000-0010-0000-0100-00000A000000}" name="60 phút tổng tok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Nhap_lieu_thuc_te" displayName="Table_Nhap_lieu_thuc_te" ref="A1:K17">
  <autoFilter ref="A1:K17" xr:uid="{00000000-0009-0000-0100-000003000000}"/>
  <tableColumns count="11">
    <tableColumn id="1" xr3:uid="{00000000-0010-0000-0200-000001000000}" name="Ngày"/>
    <tableColumn id="2" xr3:uid="{00000000-0010-0000-0200-000002000000}" name="Video/API request"/>
    <tableColumn id="3" xr3:uid="{00000000-0010-0000-0200-000003000000}" name="Thời lượng phút"/>
    <tableColumn id="4" xr3:uid="{00000000-0010-0000-0200-000004000000}" name="Input tokens"/>
    <tableColumn id="5" xr3:uid="{00000000-0010-0000-0200-000005000000}" name="Output tokens"/>
    <tableColumn id="6" xr3:uid="{00000000-0010-0000-0200-000006000000}" name="Tổng tokens"/>
    <tableColumn id="7" xr3:uid="{00000000-0010-0000-0200-000007000000}" name="Chi phí input USD"/>
    <tableColumn id="8" xr3:uid="{00000000-0010-0000-0200-000008000000}" name="Chi phí output USD"/>
    <tableColumn id="9" xr3:uid="{00000000-0010-0000-0200-000009000000}" name="Tổng chi phí USD"/>
    <tableColumn id="10" xr3:uid="{00000000-0010-0000-0200-00000A000000}" name="Model"/>
    <tableColumn id="11" xr3:uid="{00000000-0010-0000-0200-00000B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3" width="32" customWidth="1"/>
    <col min="4" max="4" width="14" customWidth="1"/>
  </cols>
  <sheetData>
    <row r="1" spans="1:4" ht="32.1" customHeight="1" x14ac:dyDescent="0.25">
      <c r="A1" s="6" t="s">
        <v>0</v>
      </c>
      <c r="B1" s="7"/>
      <c r="C1" s="7"/>
      <c r="D1" s="7"/>
    </row>
    <row r="2" spans="1:4" x14ac:dyDescent="0.25">
      <c r="A2" s="1"/>
      <c r="B2" s="1"/>
      <c r="C2" s="1"/>
      <c r="D2" s="1"/>
    </row>
    <row r="3" spans="1:4" ht="45" customHeight="1" x14ac:dyDescent="0.25">
      <c r="A3" s="1" t="s">
        <v>1</v>
      </c>
      <c r="B3" s="1" t="s">
        <v>2</v>
      </c>
      <c r="C3" s="1"/>
      <c r="D3" s="1"/>
    </row>
    <row r="4" spans="1:4" ht="60" customHeight="1" x14ac:dyDescent="0.25">
      <c r="A4" s="1" t="s">
        <v>3</v>
      </c>
      <c r="B4" s="1" t="s">
        <v>4</v>
      </c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9" t="s">
        <v>5</v>
      </c>
      <c r="B6" s="7"/>
      <c r="C6" s="7"/>
      <c r="D6" s="7"/>
    </row>
    <row r="7" spans="1:4" x14ac:dyDescent="0.25">
      <c r="A7" s="1" t="s">
        <v>6</v>
      </c>
      <c r="B7" s="3">
        <v>130</v>
      </c>
      <c r="C7" s="1" t="s">
        <v>7</v>
      </c>
      <c r="D7" s="1"/>
    </row>
    <row r="8" spans="1:4" ht="30" customHeight="1" x14ac:dyDescent="0.25">
      <c r="A8" s="1" t="s">
        <v>8</v>
      </c>
      <c r="B8" s="3">
        <v>1.5</v>
      </c>
      <c r="C8" s="1" t="s">
        <v>9</v>
      </c>
      <c r="D8" s="1"/>
    </row>
    <row r="9" spans="1:4" ht="30" customHeight="1" x14ac:dyDescent="0.25">
      <c r="A9" s="1" t="s">
        <v>10</v>
      </c>
      <c r="B9" s="3">
        <v>700</v>
      </c>
      <c r="C9" s="1" t="s">
        <v>11</v>
      </c>
      <c r="D9" s="1"/>
    </row>
    <row r="10" spans="1:4" ht="30" customHeight="1" x14ac:dyDescent="0.25">
      <c r="A10" s="1" t="s">
        <v>12</v>
      </c>
      <c r="B10" s="3">
        <v>1000</v>
      </c>
      <c r="C10" s="1" t="s">
        <v>13</v>
      </c>
      <c r="D10" s="1"/>
    </row>
    <row r="11" spans="1:4" ht="30" customHeight="1" x14ac:dyDescent="0.25">
      <c r="A11" s="1" t="s">
        <v>14</v>
      </c>
      <c r="B11" s="3">
        <v>0.3</v>
      </c>
      <c r="C11" s="1" t="s">
        <v>15</v>
      </c>
      <c r="D11" s="1"/>
    </row>
    <row r="12" spans="1:4" ht="30" customHeight="1" x14ac:dyDescent="0.25">
      <c r="A12" s="1" t="s">
        <v>16</v>
      </c>
      <c r="B12" s="3">
        <v>2.5</v>
      </c>
      <c r="C12" s="1" t="s">
        <v>15</v>
      </c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9" t="s">
        <v>17</v>
      </c>
      <c r="B15" s="7"/>
      <c r="C15" s="7"/>
      <c r="D15" s="7"/>
    </row>
    <row r="16" spans="1:4" x14ac:dyDescent="0.25">
      <c r="A16" s="8" t="s">
        <v>18</v>
      </c>
      <c r="B16" s="7"/>
      <c r="C16" s="7"/>
      <c r="D16" s="7"/>
    </row>
    <row r="17" spans="1:4" x14ac:dyDescent="0.25">
      <c r="A17" s="8" t="s">
        <v>19</v>
      </c>
      <c r="B17" s="7"/>
      <c r="C17" s="7"/>
      <c r="D17" s="7"/>
    </row>
    <row r="18" spans="1:4" x14ac:dyDescent="0.25">
      <c r="A18" s="8" t="s">
        <v>20</v>
      </c>
      <c r="B18" s="7"/>
      <c r="C18" s="7"/>
      <c r="D18" s="7"/>
    </row>
    <row r="19" spans="1:4" x14ac:dyDescent="0.25">
      <c r="A19" s="8" t="s">
        <v>21</v>
      </c>
      <c r="B19" s="7"/>
      <c r="C19" s="7"/>
      <c r="D19" s="7"/>
    </row>
  </sheetData>
  <mergeCells count="7">
    <mergeCell ref="A19:D19"/>
    <mergeCell ref="A16:D16"/>
    <mergeCell ref="A1:D1"/>
    <mergeCell ref="A17:D17"/>
    <mergeCell ref="A18:D18"/>
    <mergeCell ref="A6:D6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2" customWidth="1"/>
    <col min="4" max="4" width="25" customWidth="1"/>
    <col min="5" max="6" width="19" customWidth="1"/>
    <col min="7" max="7" width="20" customWidth="1"/>
    <col min="8" max="8" width="14" customWidth="1"/>
    <col min="9" max="10" width="31" customWidth="1"/>
    <col min="11" max="11" width="18" customWidth="1"/>
  </cols>
  <sheetData>
    <row r="1" spans="1:11" ht="32.1" customHeigh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</row>
    <row r="2" spans="1:11" x14ac:dyDescent="0.25">
      <c r="A2" s="1" t="s">
        <v>33</v>
      </c>
      <c r="B2" s="1">
        <v>5</v>
      </c>
      <c r="C2" s="1">
        <f>B2*'Huong dan'!$B$7</f>
        <v>650</v>
      </c>
      <c r="D2" s="1">
        <f>C2*'Huong dan'!$B$8</f>
        <v>975</v>
      </c>
      <c r="E2" s="1">
        <f>'Huong dan'!$B$9</f>
        <v>700</v>
      </c>
      <c r="F2" s="1">
        <f>D2+E2</f>
        <v>1675</v>
      </c>
      <c r="G2" s="1">
        <f>'Huong dan'!$B$10</f>
        <v>1000</v>
      </c>
      <c r="H2" s="1">
        <f>F2+G2</f>
        <v>2675</v>
      </c>
      <c r="I2" s="4">
        <f>F2/1000000*'Huong dan'!$B$11</f>
        <v>5.0250000000000002E-4</v>
      </c>
      <c r="J2" s="4">
        <f>G2/1000000*'Huong dan'!$B$12</f>
        <v>2.5000000000000001E-3</v>
      </c>
      <c r="K2" s="4">
        <f>I2+J2</f>
        <v>3.0025E-3</v>
      </c>
    </row>
    <row r="3" spans="1:11" x14ac:dyDescent="0.25">
      <c r="A3" s="1" t="s">
        <v>34</v>
      </c>
      <c r="B3" s="1">
        <v>10</v>
      </c>
      <c r="C3" s="1">
        <f>B3*'Huong dan'!$B$7</f>
        <v>1300</v>
      </c>
      <c r="D3" s="1">
        <f>C3*'Huong dan'!$B$8</f>
        <v>1950</v>
      </c>
      <c r="E3" s="1">
        <f>'Huong dan'!$B$9</f>
        <v>700</v>
      </c>
      <c r="F3" s="1">
        <f>D3+E3</f>
        <v>2650</v>
      </c>
      <c r="G3" s="1">
        <f>'Huong dan'!$B$10</f>
        <v>1000</v>
      </c>
      <c r="H3" s="1">
        <f>F3+G3</f>
        <v>3650</v>
      </c>
      <c r="I3" s="4">
        <f>F3/1000000*'Huong dan'!$B$11</f>
        <v>7.9500000000000003E-4</v>
      </c>
      <c r="J3" s="4">
        <f>G3/1000000*'Huong dan'!$B$12</f>
        <v>2.5000000000000001E-3</v>
      </c>
      <c r="K3" s="4">
        <f>I3+J3</f>
        <v>3.2950000000000002E-3</v>
      </c>
    </row>
    <row r="4" spans="1:11" x14ac:dyDescent="0.25">
      <c r="A4" s="1" t="s">
        <v>35</v>
      </c>
      <c r="B4" s="1">
        <v>20</v>
      </c>
      <c r="C4" s="1">
        <f>B4*'Huong dan'!$B$7</f>
        <v>2600</v>
      </c>
      <c r="D4" s="1">
        <f>C4*'Huong dan'!$B$8</f>
        <v>3900</v>
      </c>
      <c r="E4" s="1">
        <f>'Huong dan'!$B$9</f>
        <v>700</v>
      </c>
      <c r="F4" s="1">
        <f>D4+E4</f>
        <v>4600</v>
      </c>
      <c r="G4" s="1">
        <f>'Huong dan'!$B$10</f>
        <v>1000</v>
      </c>
      <c r="H4" s="1">
        <f>F4+G4</f>
        <v>5600</v>
      </c>
      <c r="I4" s="4">
        <f>F4/1000000*'Huong dan'!$B$11</f>
        <v>1.3799999999999999E-3</v>
      </c>
      <c r="J4" s="4">
        <f>G4/1000000*'Huong dan'!$B$12</f>
        <v>2.5000000000000001E-3</v>
      </c>
      <c r="K4" s="4">
        <f>I4+J4</f>
        <v>3.8799999999999998E-3</v>
      </c>
    </row>
    <row r="5" spans="1:11" x14ac:dyDescent="0.25">
      <c r="A5" s="1" t="s">
        <v>36</v>
      </c>
      <c r="B5" s="1">
        <v>30</v>
      </c>
      <c r="C5" s="1">
        <f>B5*'Huong dan'!$B$7</f>
        <v>3900</v>
      </c>
      <c r="D5" s="1">
        <f>C5*'Huong dan'!$B$8</f>
        <v>5850</v>
      </c>
      <c r="E5" s="1">
        <f>'Huong dan'!$B$9</f>
        <v>700</v>
      </c>
      <c r="F5" s="1">
        <f>D5+E5</f>
        <v>6550</v>
      </c>
      <c r="G5" s="1">
        <f>'Huong dan'!$B$10</f>
        <v>1000</v>
      </c>
      <c r="H5" s="1">
        <f>F5+G5</f>
        <v>7550</v>
      </c>
      <c r="I5" s="4">
        <f>F5/1000000*'Huong dan'!$B$11</f>
        <v>1.9650000000000002E-3</v>
      </c>
      <c r="J5" s="4">
        <f>G5/1000000*'Huong dan'!$B$12</f>
        <v>2.5000000000000001E-3</v>
      </c>
      <c r="K5" s="4">
        <f>I5+J5</f>
        <v>4.4650000000000002E-3</v>
      </c>
    </row>
    <row r="6" spans="1:11" x14ac:dyDescent="0.25">
      <c r="A6" s="1" t="s">
        <v>37</v>
      </c>
      <c r="B6" s="1">
        <v>60</v>
      </c>
      <c r="C6" s="1">
        <f>B6*'Huong dan'!$B$7</f>
        <v>7800</v>
      </c>
      <c r="D6" s="1">
        <f>C6*'Huong dan'!$B$8</f>
        <v>11700</v>
      </c>
      <c r="E6" s="1">
        <f>'Huong dan'!$B$9</f>
        <v>700</v>
      </c>
      <c r="F6" s="1">
        <f>D6+E6</f>
        <v>12400</v>
      </c>
      <c r="G6" s="1">
        <f>'Huong dan'!$B$10</f>
        <v>1000</v>
      </c>
      <c r="H6" s="1">
        <f>F6+G6</f>
        <v>13400</v>
      </c>
      <c r="I6" s="4">
        <f>F6/1000000*'Huong dan'!$B$11</f>
        <v>3.7199999999999998E-3</v>
      </c>
      <c r="J6" s="4">
        <f>G6/1000000*'Huong dan'!$B$12</f>
        <v>2.5000000000000001E-3</v>
      </c>
      <c r="K6" s="4">
        <f>I6+J6</f>
        <v>6.2199999999999998E-3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5" width="16" customWidth="1"/>
    <col min="6" max="6" width="19" customWidth="1"/>
    <col min="7" max="10" width="20" customWidth="1"/>
  </cols>
  <sheetData>
    <row r="1" spans="1:10" ht="32.1" customHeight="1" x14ac:dyDescent="0.2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</row>
    <row r="2" spans="1:10" x14ac:dyDescent="0.25">
      <c r="A2" s="1" t="s">
        <v>48</v>
      </c>
      <c r="B2" s="1">
        <v>110</v>
      </c>
      <c r="C2" s="1">
        <v>1.2</v>
      </c>
      <c r="D2" s="1">
        <v>600</v>
      </c>
      <c r="E2" s="1">
        <v>700</v>
      </c>
      <c r="F2" s="1">
        <f>(5*B2*C2)+D2+E2</f>
        <v>1960</v>
      </c>
      <c r="G2" s="1">
        <f>(10*B2*C2)+D2+E2</f>
        <v>2620</v>
      </c>
      <c r="H2" s="1">
        <f>(20*B2*C2)+D2+E2</f>
        <v>3940</v>
      </c>
      <c r="I2" s="1">
        <f>(30*B2*C2)+D2+E2</f>
        <v>5260</v>
      </c>
      <c r="J2" s="1">
        <f>(60*B2*C2)+D2+E2</f>
        <v>9220</v>
      </c>
    </row>
    <row r="3" spans="1:10" x14ac:dyDescent="0.25">
      <c r="A3" s="1" t="s">
        <v>49</v>
      </c>
      <c r="B3" s="1">
        <v>130</v>
      </c>
      <c r="C3" s="1">
        <v>1.5</v>
      </c>
      <c r="D3" s="1">
        <v>700</v>
      </c>
      <c r="E3" s="1">
        <v>1000</v>
      </c>
      <c r="F3" s="1">
        <f>(5*B3*C3)+D3+E3</f>
        <v>2675</v>
      </c>
      <c r="G3" s="1">
        <f>(10*B3*C3)+D3+E3</f>
        <v>3650</v>
      </c>
      <c r="H3" s="1">
        <f>(20*B3*C3)+D3+E3</f>
        <v>5600</v>
      </c>
      <c r="I3" s="1">
        <f>(30*B3*C3)+D3+E3</f>
        <v>7550</v>
      </c>
      <c r="J3" s="1">
        <f>(60*B3*C3)+D3+E3</f>
        <v>13400</v>
      </c>
    </row>
    <row r="4" spans="1:10" x14ac:dyDescent="0.25">
      <c r="A4" s="1" t="s">
        <v>50</v>
      </c>
      <c r="B4" s="1">
        <v>160</v>
      </c>
      <c r="C4" s="1">
        <v>1.9</v>
      </c>
      <c r="D4" s="1">
        <v>900</v>
      </c>
      <c r="E4" s="1">
        <v>1400</v>
      </c>
      <c r="F4" s="1">
        <f>(5*B4*C4)+D4+E4</f>
        <v>3820</v>
      </c>
      <c r="G4" s="1">
        <f>(10*B4*C4)+D4+E4</f>
        <v>5340</v>
      </c>
      <c r="H4" s="1">
        <f>(20*B4*C4)+D4+E4</f>
        <v>8380</v>
      </c>
      <c r="I4" s="1">
        <f>(30*B4*C4)+D4+E4</f>
        <v>11420</v>
      </c>
      <c r="J4" s="1">
        <f>(60*B4*C4)+D4+E4</f>
        <v>20540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28515625" bestFit="1" customWidth="1"/>
    <col min="2" max="2" width="83.140625" bestFit="1" customWidth="1"/>
    <col min="3" max="3" width="17" customWidth="1"/>
    <col min="4" max="4" width="14" customWidth="1"/>
    <col min="5" max="5" width="15" customWidth="1"/>
    <col min="6" max="6" width="14" customWidth="1"/>
    <col min="7" max="8" width="32" customWidth="1"/>
    <col min="9" max="9" width="18" customWidth="1"/>
    <col min="10" max="10" width="30.28515625" customWidth="1"/>
    <col min="11" max="11" width="61.28515625" customWidth="1"/>
  </cols>
  <sheetData>
    <row r="1" spans="1:11" ht="32.1" customHeigh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55</v>
      </c>
      <c r="K1" s="2" t="s">
        <v>56</v>
      </c>
    </row>
    <row r="2" spans="1:11" x14ac:dyDescent="0.25">
      <c r="A2" s="5">
        <v>46284.048459155092</v>
      </c>
      <c r="B2" t="s">
        <v>57</v>
      </c>
      <c r="C2">
        <v>4.25</v>
      </c>
      <c r="D2">
        <f>ROUND(674*'Huong dan'!$B$8,0)+'Huong dan'!$B$9</f>
        <v>1711</v>
      </c>
      <c r="E2">
        <f>'Huong dan'!$B$10</f>
        <v>1000</v>
      </c>
      <c r="F2">
        <f t="shared" ref="F2:F17" si="0">D2+E2</f>
        <v>2711</v>
      </c>
      <c r="G2">
        <f>D2/1000000*'Huong dan'!$B$11</f>
        <v>5.1329999999999995E-4</v>
      </c>
      <c r="H2">
        <f>E2/1000000*'Huong dan'!$B$12</f>
        <v>2.5000000000000001E-3</v>
      </c>
      <c r="I2">
        <f t="shared" ref="I2:I17" si="1">G2+H2</f>
        <v>3.0133E-3</v>
      </c>
      <c r="J2" t="s">
        <v>58</v>
      </c>
      <c r="K2" t="s">
        <v>59</v>
      </c>
    </row>
    <row r="3" spans="1:11" x14ac:dyDescent="0.25">
      <c r="A3" s="5">
        <v>46297.150847662037</v>
      </c>
      <c r="B3" t="s">
        <v>60</v>
      </c>
      <c r="C3">
        <v>40.98</v>
      </c>
      <c r="D3">
        <f>ROUND(1713*'Huong dan'!$B$8,0)+'Huong dan'!$B$9</f>
        <v>3270</v>
      </c>
      <c r="E3">
        <f>'Huong dan'!$B$10</f>
        <v>1000</v>
      </c>
      <c r="F3">
        <f t="shared" si="0"/>
        <v>4270</v>
      </c>
      <c r="G3">
        <f>D3/1000000*'Huong dan'!$B$11</f>
        <v>9.8099999999999988E-4</v>
      </c>
      <c r="H3">
        <f>E3/1000000*'Huong dan'!$B$12</f>
        <v>2.5000000000000001E-3</v>
      </c>
      <c r="I3">
        <f t="shared" si="1"/>
        <v>3.4809999999999997E-3</v>
      </c>
      <c r="J3" t="s">
        <v>58</v>
      </c>
      <c r="K3" t="s">
        <v>61</v>
      </c>
    </row>
    <row r="4" spans="1:11" x14ac:dyDescent="0.25">
      <c r="A4" s="5">
        <v>46290.166074351851</v>
      </c>
      <c r="B4" t="s">
        <v>62</v>
      </c>
      <c r="C4">
        <v>3.1</v>
      </c>
      <c r="D4">
        <f>ROUND(554*'Huong dan'!$B$8,0)+'Huong dan'!$B$9</f>
        <v>1531</v>
      </c>
      <c r="E4">
        <f>'Huong dan'!$B$10</f>
        <v>1000</v>
      </c>
      <c r="F4">
        <f t="shared" si="0"/>
        <v>2531</v>
      </c>
      <c r="G4">
        <f>D4/1000000*'Huong dan'!$B$11</f>
        <v>4.593E-4</v>
      </c>
      <c r="H4">
        <f>E4/1000000*'Huong dan'!$B$12</f>
        <v>2.5000000000000001E-3</v>
      </c>
      <c r="I4">
        <f t="shared" si="1"/>
        <v>2.9593000000000002E-3</v>
      </c>
      <c r="J4" t="s">
        <v>58</v>
      </c>
      <c r="K4" t="s">
        <v>63</v>
      </c>
    </row>
    <row r="5" spans="1:11" x14ac:dyDescent="0.25">
      <c r="A5" s="5">
        <v>46284.049019212973</v>
      </c>
      <c r="B5" t="s">
        <v>64</v>
      </c>
      <c r="C5">
        <v>8.02</v>
      </c>
      <c r="D5">
        <f>ROUND(1165*'Huong dan'!$B$8,0)+'Huong dan'!$B$9</f>
        <v>2448</v>
      </c>
      <c r="E5">
        <f>'Huong dan'!$B$10</f>
        <v>1000</v>
      </c>
      <c r="F5">
        <f t="shared" si="0"/>
        <v>3448</v>
      </c>
      <c r="G5">
        <f>D5/1000000*'Huong dan'!$B$11</f>
        <v>7.3439999999999996E-4</v>
      </c>
      <c r="H5">
        <f>E5/1000000*'Huong dan'!$B$12</f>
        <v>2.5000000000000001E-3</v>
      </c>
      <c r="I5">
        <f t="shared" si="1"/>
        <v>3.2344000000000001E-3</v>
      </c>
      <c r="J5" t="s">
        <v>58</v>
      </c>
      <c r="K5" t="s">
        <v>65</v>
      </c>
    </row>
    <row r="6" spans="1:11" x14ac:dyDescent="0.25">
      <c r="A6" s="5">
        <v>46297.145179074083</v>
      </c>
      <c r="B6" t="s">
        <v>66</v>
      </c>
      <c r="C6">
        <v>0</v>
      </c>
      <c r="D6">
        <f>ROUND(512*'Huong dan'!$B$8,0)+'Huong dan'!$B$9</f>
        <v>1468</v>
      </c>
      <c r="E6">
        <f>'Huong dan'!$B$10</f>
        <v>1000</v>
      </c>
      <c r="F6">
        <f t="shared" si="0"/>
        <v>2468</v>
      </c>
      <c r="G6">
        <f>D6/1000000*'Huong dan'!$B$11</f>
        <v>4.4039999999999997E-4</v>
      </c>
      <c r="H6">
        <f>E6/1000000*'Huong dan'!$B$12</f>
        <v>2.5000000000000001E-3</v>
      </c>
      <c r="I6">
        <f t="shared" si="1"/>
        <v>2.9404000000000001E-3</v>
      </c>
      <c r="J6" t="s">
        <v>58</v>
      </c>
      <c r="K6" t="s">
        <v>67</v>
      </c>
    </row>
    <row r="7" spans="1:11" x14ac:dyDescent="0.25">
      <c r="A7" s="5">
        <v>46296.335497835651</v>
      </c>
      <c r="B7" t="s">
        <v>68</v>
      </c>
      <c r="C7">
        <v>21.7</v>
      </c>
      <c r="D7">
        <f>ROUND(1716*'Huong dan'!$B$8,0)+'Huong dan'!$B$9</f>
        <v>3274</v>
      </c>
      <c r="E7">
        <f>'Huong dan'!$B$10</f>
        <v>1000</v>
      </c>
      <c r="F7">
        <f t="shared" si="0"/>
        <v>4274</v>
      </c>
      <c r="G7">
        <f>D7/1000000*'Huong dan'!$B$11</f>
        <v>9.8219999999999991E-4</v>
      </c>
      <c r="H7">
        <f>E7/1000000*'Huong dan'!$B$12</f>
        <v>2.5000000000000001E-3</v>
      </c>
      <c r="I7">
        <f t="shared" si="1"/>
        <v>3.4822E-3</v>
      </c>
      <c r="J7" t="s">
        <v>58</v>
      </c>
      <c r="K7" t="s">
        <v>69</v>
      </c>
    </row>
    <row r="8" spans="1:11" x14ac:dyDescent="0.25">
      <c r="A8" s="5">
        <v>46284.07271414352</v>
      </c>
      <c r="B8" t="s">
        <v>70</v>
      </c>
      <c r="C8">
        <v>6.5</v>
      </c>
      <c r="D8">
        <f>ROUND(1701*'Huong dan'!$B$8,0)+'Huong dan'!$B$9</f>
        <v>3252</v>
      </c>
      <c r="E8">
        <f>'Huong dan'!$B$10</f>
        <v>1000</v>
      </c>
      <c r="F8">
        <f t="shared" si="0"/>
        <v>4252</v>
      </c>
      <c r="G8">
        <f>D8/1000000*'Huong dan'!$B$11</f>
        <v>9.7559999999999997E-4</v>
      </c>
      <c r="H8">
        <f>E8/1000000*'Huong dan'!$B$12</f>
        <v>2.5000000000000001E-3</v>
      </c>
      <c r="I8">
        <f t="shared" si="1"/>
        <v>3.4756000000000001E-3</v>
      </c>
      <c r="J8" t="s">
        <v>58</v>
      </c>
      <c r="K8" t="s">
        <v>71</v>
      </c>
    </row>
    <row r="9" spans="1:11" x14ac:dyDescent="0.25">
      <c r="A9" s="5">
        <v>46290.182496134257</v>
      </c>
      <c r="B9" t="s">
        <v>72</v>
      </c>
      <c r="C9">
        <v>3.62</v>
      </c>
      <c r="D9">
        <f>ROUND(336*'Huong dan'!$B$8,0)+'Huong dan'!$B$9</f>
        <v>1204</v>
      </c>
      <c r="E9">
        <f>'Huong dan'!$B$10</f>
        <v>1000</v>
      </c>
      <c r="F9">
        <f t="shared" si="0"/>
        <v>2204</v>
      </c>
      <c r="G9">
        <f>D9/1000000*'Huong dan'!$B$11</f>
        <v>3.612E-4</v>
      </c>
      <c r="H9">
        <f>E9/1000000*'Huong dan'!$B$12</f>
        <v>2.5000000000000001E-3</v>
      </c>
      <c r="I9">
        <f t="shared" si="1"/>
        <v>2.8611999999999999E-3</v>
      </c>
      <c r="J9" t="s">
        <v>58</v>
      </c>
      <c r="K9" t="s">
        <v>73</v>
      </c>
    </row>
    <row r="10" spans="1:11" x14ac:dyDescent="0.25">
      <c r="A10" s="5">
        <v>46284.054479328697</v>
      </c>
      <c r="B10" t="s">
        <v>74</v>
      </c>
      <c r="C10">
        <v>4.63</v>
      </c>
      <c r="D10">
        <f>ROUND(833*'Huong dan'!$B$8,0)+'Huong dan'!$B$9</f>
        <v>1950</v>
      </c>
      <c r="E10">
        <f>'Huong dan'!$B$10</f>
        <v>1000</v>
      </c>
      <c r="F10">
        <f t="shared" si="0"/>
        <v>2950</v>
      </c>
      <c r="G10">
        <f>D10/1000000*'Huong dan'!$B$11</f>
        <v>5.8499999999999991E-4</v>
      </c>
      <c r="H10">
        <f>E10/1000000*'Huong dan'!$B$12</f>
        <v>2.5000000000000001E-3</v>
      </c>
      <c r="I10">
        <f t="shared" si="1"/>
        <v>3.0850000000000001E-3</v>
      </c>
      <c r="J10" t="s">
        <v>58</v>
      </c>
      <c r="K10" t="s">
        <v>75</v>
      </c>
    </row>
    <row r="11" spans="1:11" x14ac:dyDescent="0.25">
      <c r="A11" s="5">
        <v>46304.37468361111</v>
      </c>
      <c r="B11" t="s">
        <v>76</v>
      </c>
      <c r="C11">
        <v>1.53</v>
      </c>
      <c r="D11">
        <f>ROUND(123*'Huong dan'!$B$8,0)+'Huong dan'!$B$9</f>
        <v>885</v>
      </c>
      <c r="E11">
        <f>'Huong dan'!$B$10</f>
        <v>1000</v>
      </c>
      <c r="F11">
        <f t="shared" si="0"/>
        <v>1885</v>
      </c>
      <c r="G11">
        <f>D11/1000000*'Huong dan'!$B$11</f>
        <v>2.655E-4</v>
      </c>
      <c r="H11">
        <f>E11/1000000*'Huong dan'!$B$12</f>
        <v>2.5000000000000001E-3</v>
      </c>
      <c r="I11">
        <f t="shared" si="1"/>
        <v>2.7655000000000002E-3</v>
      </c>
      <c r="J11" t="s">
        <v>58</v>
      </c>
      <c r="K11" t="s">
        <v>77</v>
      </c>
    </row>
    <row r="12" spans="1:11" x14ac:dyDescent="0.25">
      <c r="A12" s="5">
        <v>46296.351442349544</v>
      </c>
      <c r="B12" t="s">
        <v>60</v>
      </c>
      <c r="C12">
        <v>46.78</v>
      </c>
      <c r="D12">
        <f>ROUND(1674*'Huong dan'!$B$8,0)+'Huong dan'!$B$9</f>
        <v>3211</v>
      </c>
      <c r="E12">
        <f>'Huong dan'!$B$10</f>
        <v>1000</v>
      </c>
      <c r="F12">
        <f t="shared" si="0"/>
        <v>4211</v>
      </c>
      <c r="G12">
        <f>D12/1000000*'Huong dan'!$B$11</f>
        <v>9.6329999999999994E-4</v>
      </c>
      <c r="H12">
        <f>E12/1000000*'Huong dan'!$B$12</f>
        <v>2.5000000000000001E-3</v>
      </c>
      <c r="I12">
        <f t="shared" si="1"/>
        <v>3.4632999999999999E-3</v>
      </c>
      <c r="J12" t="s">
        <v>58</v>
      </c>
      <c r="K12" t="s">
        <v>78</v>
      </c>
    </row>
    <row r="13" spans="1:11" x14ac:dyDescent="0.25">
      <c r="A13" s="5">
        <v>46304.271875949067</v>
      </c>
      <c r="B13" t="s">
        <v>79</v>
      </c>
      <c r="C13">
        <v>6.6</v>
      </c>
      <c r="D13">
        <f>ROUND(385*'Huong dan'!$B$8,0)+'Huong dan'!$B$9</f>
        <v>1278</v>
      </c>
      <c r="E13">
        <f>'Huong dan'!$B$10</f>
        <v>1000</v>
      </c>
      <c r="F13">
        <f t="shared" si="0"/>
        <v>2278</v>
      </c>
      <c r="G13">
        <f>D13/1000000*'Huong dan'!$B$11</f>
        <v>3.834E-4</v>
      </c>
      <c r="H13">
        <f>E13/1000000*'Huong dan'!$B$12</f>
        <v>2.5000000000000001E-3</v>
      </c>
      <c r="I13">
        <f t="shared" si="1"/>
        <v>2.8833999999999999E-3</v>
      </c>
      <c r="J13" t="s">
        <v>58</v>
      </c>
      <c r="K13" t="s">
        <v>80</v>
      </c>
    </row>
    <row r="14" spans="1:11" x14ac:dyDescent="0.25">
      <c r="A14" s="5">
        <v>46286.278414745371</v>
      </c>
      <c r="B14" t="s">
        <v>81</v>
      </c>
      <c r="C14">
        <v>4.58</v>
      </c>
      <c r="D14">
        <f>ROUND(924*'Huong dan'!$B$8,0)+'Huong dan'!$B$9</f>
        <v>2086</v>
      </c>
      <c r="E14">
        <f>'Huong dan'!$B$10</f>
        <v>1000</v>
      </c>
      <c r="F14">
        <f t="shared" si="0"/>
        <v>3086</v>
      </c>
      <c r="G14">
        <f>D14/1000000*'Huong dan'!$B$11</f>
        <v>6.2580000000000003E-4</v>
      </c>
      <c r="H14">
        <f>E14/1000000*'Huong dan'!$B$12</f>
        <v>2.5000000000000001E-3</v>
      </c>
      <c r="I14">
        <f t="shared" si="1"/>
        <v>3.1258000000000002E-3</v>
      </c>
      <c r="J14" t="s">
        <v>58</v>
      </c>
      <c r="K14" t="s">
        <v>82</v>
      </c>
    </row>
    <row r="15" spans="1:11" x14ac:dyDescent="0.25">
      <c r="A15" s="5">
        <v>46296.370147083333</v>
      </c>
      <c r="B15" t="s">
        <v>83</v>
      </c>
      <c r="C15">
        <v>44.77</v>
      </c>
      <c r="D15">
        <f>ROUND(1718*'Huong dan'!$B$8,0)+'Huong dan'!$B$9</f>
        <v>3277</v>
      </c>
      <c r="E15">
        <f>'Huong dan'!$B$10</f>
        <v>1000</v>
      </c>
      <c r="F15">
        <f t="shared" si="0"/>
        <v>4277</v>
      </c>
      <c r="G15">
        <f>D15/1000000*'Huong dan'!$B$11</f>
        <v>9.8309999999999999E-4</v>
      </c>
      <c r="H15">
        <f>E15/1000000*'Huong dan'!$B$12</f>
        <v>2.5000000000000001E-3</v>
      </c>
      <c r="I15">
        <f t="shared" si="1"/>
        <v>3.4831000000000003E-3</v>
      </c>
      <c r="J15" t="s">
        <v>58</v>
      </c>
      <c r="K15" t="s">
        <v>84</v>
      </c>
    </row>
    <row r="16" spans="1:11" x14ac:dyDescent="0.25">
      <c r="A16" s="5">
        <v>46291.068422372693</v>
      </c>
      <c r="B16" t="s">
        <v>85</v>
      </c>
      <c r="C16">
        <v>3.35</v>
      </c>
      <c r="D16">
        <f>ROUND(421*'Huong dan'!$B$8,0)+'Huong dan'!$B$9</f>
        <v>1332</v>
      </c>
      <c r="E16">
        <f>'Huong dan'!$B$10</f>
        <v>1000</v>
      </c>
      <c r="F16">
        <f t="shared" si="0"/>
        <v>2332</v>
      </c>
      <c r="G16">
        <f>D16/1000000*'Huong dan'!$B$11</f>
        <v>3.9960000000000001E-4</v>
      </c>
      <c r="H16">
        <f>E16/1000000*'Huong dan'!$B$12</f>
        <v>2.5000000000000001E-3</v>
      </c>
      <c r="I16">
        <f t="shared" si="1"/>
        <v>2.8996E-3</v>
      </c>
      <c r="J16" t="s">
        <v>58</v>
      </c>
      <c r="K16" t="s">
        <v>86</v>
      </c>
    </row>
    <row r="17" spans="1:11" x14ac:dyDescent="0.25">
      <c r="A17" s="5">
        <v>46290.216035833328</v>
      </c>
      <c r="B17" t="s">
        <v>87</v>
      </c>
      <c r="C17">
        <v>6.5</v>
      </c>
      <c r="D17">
        <f>ROUND(976*'Huong dan'!$B$8,0)+'Huong dan'!$B$9</f>
        <v>2164</v>
      </c>
      <c r="E17">
        <f>'Huong dan'!$B$10</f>
        <v>1000</v>
      </c>
      <c r="F17">
        <f t="shared" si="0"/>
        <v>3164</v>
      </c>
      <c r="G17">
        <f>D17/1000000*'Huong dan'!$B$11</f>
        <v>6.4920000000000006E-4</v>
      </c>
      <c r="H17">
        <f>E17/1000000*'Huong dan'!$B$12</f>
        <v>2.5000000000000001E-3</v>
      </c>
      <c r="I17">
        <f t="shared" si="1"/>
        <v>3.1492E-3</v>
      </c>
      <c r="J17" t="s">
        <v>58</v>
      </c>
      <c r="K17" t="s">
        <v>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 dan</vt:lpstr>
      <vt:lpstr>Uoc tinh</vt:lpstr>
      <vt:lpstr>Kich ban</vt:lpstr>
      <vt:lpstr>Nhap lieu thuc 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Khánh</cp:lastModifiedBy>
  <dcterms:created xsi:type="dcterms:W3CDTF">2026-10-15T07:57:47Z</dcterms:created>
  <dcterms:modified xsi:type="dcterms:W3CDTF">2026-10-15T08:04:40Z</dcterms:modified>
</cp:coreProperties>
</file>