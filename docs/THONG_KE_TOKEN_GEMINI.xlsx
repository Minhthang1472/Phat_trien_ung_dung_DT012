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Huong dan" sheetId="1" state="visible" r:id="rId1"/>
    <sheet name="Uoc tinh" sheetId="2" state="visible" r:id="rId2"/>
    <sheet name="Kich ban" sheetId="3" state="visible" r:id="rId3"/>
    <sheet name="Nhap lieu thuc te" sheetId="4" state="visible" r:id="rId4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\$0.000000"/>
    <numFmt numFmtId="165" formatCode="yyyy-mm-dd h:mm:ss"/>
  </numFmts>
  <fonts count="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0" fillId="0" borderId="1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le_Uoc_tinh" displayName="Table_Uoc_tinh" ref="A1:K6" headerRowCount="1">
  <autoFilter ref="A1:K6"/>
  <tableColumns count="11">
    <tableColumn id="1" name="Thời lượng"/>
    <tableColumn id="2" name="Phút"/>
    <tableColumn id="3" name="Từ ước tính"/>
    <tableColumn id="4" name="Input transcript tokens"/>
    <tableColumn id="5" name="Prompt tokens"/>
    <tableColumn id="6" name="Tổng input tokens"/>
    <tableColumn id="7" name="Output tokens"/>
    <tableColumn id="8" name="Tổng tokens"/>
    <tableColumn id="9" name="Chi phí input USD"/>
    <tableColumn id="10" name="Chi phí output USD"/>
    <tableColumn id="11" name="Tổng chi phí US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Kich_ban" displayName="Table_Kich_ban" ref="A1:J4" headerRowCount="1">
  <autoFilter ref="A1:J4"/>
  <tableColumns count="10">
    <tableColumn id="1" name="Kịch bản"/>
    <tableColumn id="2" name="Từ/phút"/>
    <tableColumn id="3" name="Token/từ"/>
    <tableColumn id="4" name="Prompt/request"/>
    <tableColumn id="5" name="Output/request"/>
    <tableColumn id="6" name="5 phút tổng token"/>
    <tableColumn id="7" name="10 phút tổng token"/>
    <tableColumn id="8" name="20 phút tổng token"/>
    <tableColumn id="9" name="30 phút tổng token"/>
    <tableColumn id="10" name="60 phút tổng tok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Nhap_lieu_thuc_te" displayName="Table_Nhap_lieu_thuc_te" ref="A1:K17" headerRowCount="1">
  <autoFilter ref="A1:K21"/>
  <tableColumns count="11">
    <tableColumn id="1" name="Ngày"/>
    <tableColumn id="2" name="Video/API request"/>
    <tableColumn id="3" name="Thời lượng phút"/>
    <tableColumn id="4" name="Input tokens"/>
    <tableColumn id="5" name="Output tokens"/>
    <tableColumn id="6" name="Tổng tokens"/>
    <tableColumn id="7" name="Chi phí input USD"/>
    <tableColumn id="8" name="Chi phí output USD"/>
    <tableColumn id="9" name="Tổng chi phí USD"/>
    <tableColumn id="10" name="Model"/>
    <tableColumn id="11" name="Ghi chú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tabSelected="1" workbookViewId="0">
      <pane ySplit="1" topLeftCell="A2" activePane="bottomLeft" state="frozen"/>
      <selection pane="bottomLeft" activeCell="C12" sqref="C12"/>
    </sheetView>
  </sheetViews>
  <sheetFormatPr baseColWidth="8" defaultRowHeight="15"/>
  <cols>
    <col width="32" customWidth="1" min="1" max="3"/>
    <col width="14" customWidth="1" min="4" max="4"/>
  </cols>
  <sheetData>
    <row r="1" ht="32.1" customHeight="1">
      <c r="A1" s="5" t="inlineStr">
        <is>
          <t>THỐNG KÊ TOKEN GEMINI THEO THỜI LƯỢNG VIDEO</t>
        </is>
      </c>
      <c r="B1" s="8" t="n"/>
      <c r="C1" s="8" t="n"/>
      <c r="D1" s="8" t="n"/>
    </row>
    <row r="2">
      <c r="A2" s="6" t="n"/>
      <c r="B2" s="6" t="n"/>
      <c r="C2" s="6" t="n"/>
      <c r="D2" s="6" t="n"/>
    </row>
    <row r="3" ht="45" customHeight="1">
      <c r="A3" s="6" t="inlineStr">
        <is>
          <t>Mục đích</t>
        </is>
      </c>
      <c r="B3" s="6" t="inlineStr">
        <is>
          <t>Ước tính số token Gemini cho transcript và bản tóm tắt theo thời lượng video.</t>
        </is>
      </c>
      <c r="C3" s="6" t="n"/>
      <c r="D3" s="6" t="n"/>
    </row>
    <row r="4" ht="60" customHeight="1">
      <c r="A4" s="6" t="inlineStr">
        <is>
          <t>Lưu ý</t>
        </is>
      </c>
      <c r="B4" s="6" t="inlineStr">
        <is>
          <t>Đây là ước tính. Token thực tế phụ thuộc ngôn ngữ, số từ/phút, prompt, output và cách chia chunk.</t>
        </is>
      </c>
      <c r="C4" s="6" t="n"/>
      <c r="D4" s="6" t="n"/>
    </row>
    <row r="5">
      <c r="A5" s="6" t="n"/>
      <c r="B5" s="6" t="n"/>
      <c r="C5" s="6" t="n"/>
      <c r="D5" s="6" t="n"/>
    </row>
    <row r="6">
      <c r="A6" s="7" t="inlineStr">
        <is>
          <t>Giả định mặc định</t>
        </is>
      </c>
      <c r="B6" s="8" t="n"/>
      <c r="C6" s="8" t="n"/>
      <c r="D6" s="8" t="n"/>
    </row>
    <row r="7">
      <c r="A7" s="6" t="inlineStr">
        <is>
          <t>Tốc độ nói trung bình (từ/phút)</t>
        </is>
      </c>
      <c r="B7" s="3" t="n">
        <v>130</v>
      </c>
      <c r="C7" s="6" t="inlineStr">
        <is>
          <t>Có thể đổi theo video thực tế</t>
        </is>
      </c>
      <c r="D7" s="6" t="n"/>
    </row>
    <row r="8" ht="30" customHeight="1">
      <c r="A8" s="6" t="inlineStr">
        <is>
          <t>Token trung bình / từ</t>
        </is>
      </c>
      <c r="B8" s="3" t="n">
        <v>1.5</v>
      </c>
      <c r="C8" s="6" t="inlineStr">
        <is>
          <t>Tiếng Việt thường dao động theo nội dung</t>
        </is>
      </c>
      <c r="D8" s="6" t="n"/>
    </row>
    <row r="9" ht="30" customHeight="1">
      <c r="A9" s="6" t="inlineStr">
        <is>
          <t>Prompt/system tokens mỗi request</t>
        </is>
      </c>
      <c r="B9" s="3" t="n">
        <v>700</v>
      </c>
      <c r="C9" s="6" t="inlineStr">
        <is>
          <t>Prompt tóm tắt + JSON schema</t>
        </is>
      </c>
      <c r="D9" s="6" t="n"/>
    </row>
    <row r="10" ht="30" customHeight="1">
      <c r="A10" s="6" t="inlineStr">
        <is>
          <t>Output tokens mỗi request</t>
        </is>
      </c>
      <c r="B10" s="3" t="n">
        <v>1000</v>
      </c>
      <c r="C10" s="6" t="inlineStr">
        <is>
          <t>Summary, key points, quiz, mindmap, exercises</t>
        </is>
      </c>
      <c r="D10" s="6" t="n"/>
    </row>
    <row r="11" ht="30" customHeight="1">
      <c r="A11" s="6" t="inlineStr">
        <is>
          <t>Giá input USD / 1M tokens</t>
        </is>
      </c>
      <c r="B11" s="3" t="n">
        <v>0.3</v>
      </c>
      <c r="C11" s="6" t="inlineStr">
        <is>
          <t>Giá tham khảo, cần cập nhật theo model/tài khoản</t>
        </is>
      </c>
      <c r="D11" s="6" t="n"/>
    </row>
    <row r="12" ht="30" customHeight="1">
      <c r="A12" s="6" t="inlineStr">
        <is>
          <t>Giá output USD / 1M tokens</t>
        </is>
      </c>
      <c r="B12" s="3" t="n">
        <v>2.5</v>
      </c>
      <c r="C12" s="6" t="inlineStr">
        <is>
          <t>Giá tham khảo, cần cập nhật theo model/tài khoản</t>
        </is>
      </c>
      <c r="D12" s="6" t="n"/>
    </row>
    <row r="13">
      <c r="A13" s="6" t="n"/>
      <c r="B13" s="6" t="n"/>
      <c r="C13" s="6" t="n"/>
      <c r="D13" s="6" t="n"/>
    </row>
    <row r="14">
      <c r="A14" s="6" t="n"/>
      <c r="B14" s="6" t="n"/>
      <c r="C14" s="6" t="n"/>
      <c r="D14" s="6" t="n"/>
    </row>
    <row r="15">
      <c r="A15" s="7" t="inlineStr">
        <is>
          <t>Cách dùng</t>
        </is>
      </c>
      <c r="B15" s="8" t="n"/>
      <c r="C15" s="8" t="n"/>
      <c r="D15" s="8" t="n"/>
    </row>
    <row r="16">
      <c r="A16" s="6" t="inlineStr">
        <is>
          <t>1. Chỉnh các ô màu vàng nếu có số liệu thực tế.</t>
        </is>
      </c>
      <c r="B16" s="8" t="n"/>
      <c r="C16" s="8" t="n"/>
      <c r="D16" s="8" t="n"/>
    </row>
    <row r="17">
      <c r="A17" s="6" t="inlineStr">
        <is>
          <t>2. Xem sheet 'Uoc tinh' để xem tổng input/output/chi phí.</t>
        </is>
      </c>
      <c r="B17" s="8" t="n"/>
      <c r="C17" s="8" t="n"/>
      <c r="D17" s="8" t="n"/>
    </row>
    <row r="18">
      <c r="A18" s="6" t="inlineStr">
        <is>
          <t>3. Ghi usage thực tế từ response API vào sheet 'Nhap lieu thuc te'.</t>
        </is>
      </c>
      <c r="B18" s="8" t="n"/>
      <c r="C18" s="8" t="n"/>
      <c r="D18" s="8" t="n"/>
    </row>
    <row r="19">
      <c r="A19" s="6" t="inlineStr">
        <is>
          <t>4. Nếu hệ thống chia transcript thành nhiều request, cộng thêm prompt tokens cho từng request.</t>
        </is>
      </c>
      <c r="B19" s="8" t="n"/>
      <c r="C19" s="8" t="n"/>
      <c r="D19" s="8" t="n"/>
    </row>
  </sheetData>
  <mergeCells count="7">
    <mergeCell ref="A1:D1"/>
    <mergeCell ref="A17:D17"/>
    <mergeCell ref="A18:D18"/>
    <mergeCell ref="A6:D6"/>
    <mergeCell ref="A15:D15"/>
    <mergeCell ref="A19:D19"/>
    <mergeCell ref="A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2"/>
    <col width="22" customWidth="1" min="3" max="3"/>
    <col width="25" customWidth="1" min="4" max="4"/>
    <col width="19" customWidth="1" min="5" max="6"/>
    <col width="20" customWidth="1" min="7" max="7"/>
    <col width="14" customWidth="1" min="8" max="8"/>
    <col width="31" customWidth="1" min="9" max="10"/>
    <col width="18" customWidth="1" min="11" max="11"/>
  </cols>
  <sheetData>
    <row r="1" ht="32.1" customHeight="1">
      <c r="A1" s="7" t="inlineStr">
        <is>
          <t>Thời lượng</t>
        </is>
      </c>
      <c r="B1" s="7" t="inlineStr">
        <is>
          <t>Phút</t>
        </is>
      </c>
      <c r="C1" s="7" t="inlineStr">
        <is>
          <t>Từ ước tính</t>
        </is>
      </c>
      <c r="D1" s="7" t="inlineStr">
        <is>
          <t>Input transcript tokens</t>
        </is>
      </c>
      <c r="E1" s="7" t="inlineStr">
        <is>
          <t>Prompt tokens</t>
        </is>
      </c>
      <c r="F1" s="7" t="inlineStr">
        <is>
          <t>Tổng input tokens</t>
        </is>
      </c>
      <c r="G1" s="7" t="inlineStr">
        <is>
          <t>Output tokens</t>
        </is>
      </c>
      <c r="H1" s="7" t="inlineStr">
        <is>
          <t>Tổng tokens</t>
        </is>
      </c>
      <c r="I1" s="7" t="inlineStr">
        <is>
          <t>Chi phí input USD</t>
        </is>
      </c>
      <c r="J1" s="7" t="inlineStr">
        <is>
          <t>Chi phí output USD</t>
        </is>
      </c>
      <c r="K1" s="7" t="inlineStr">
        <is>
          <t>Tổng chi phí USD</t>
        </is>
      </c>
    </row>
    <row r="2">
      <c r="A2" s="6" t="inlineStr">
        <is>
          <t>5 phút</t>
        </is>
      </c>
      <c r="B2" s="6" t="n">
        <v>5</v>
      </c>
      <c r="C2" s="6">
        <f>B2*'Huong dan'!$B$7</f>
        <v/>
      </c>
      <c r="D2" s="6">
        <f>C2*'Huong dan'!$B$8</f>
        <v/>
      </c>
      <c r="E2" s="6">
        <f>'Huong dan'!$B$9</f>
        <v/>
      </c>
      <c r="F2" s="6">
        <f>D2+E2</f>
        <v/>
      </c>
      <c r="G2" s="6">
        <f>'Huong dan'!$B$10</f>
        <v/>
      </c>
      <c r="H2" s="6">
        <f>F2+G2</f>
        <v/>
      </c>
      <c r="I2" s="4">
        <f>F2/1000000*'Huong dan'!$B$11</f>
        <v/>
      </c>
      <c r="J2" s="4">
        <f>G2/1000000*'Huong dan'!$B$12</f>
        <v/>
      </c>
      <c r="K2" s="4">
        <f>I2+J2</f>
        <v/>
      </c>
    </row>
    <row r="3">
      <c r="A3" s="6" t="inlineStr">
        <is>
          <t>10 phút</t>
        </is>
      </c>
      <c r="B3" s="6" t="n">
        <v>10</v>
      </c>
      <c r="C3" s="6">
        <f>B3*'Huong dan'!$B$7</f>
        <v/>
      </c>
      <c r="D3" s="6">
        <f>C3*'Huong dan'!$B$8</f>
        <v/>
      </c>
      <c r="E3" s="6">
        <f>'Huong dan'!$B$9</f>
        <v/>
      </c>
      <c r="F3" s="6">
        <f>D3+E3</f>
        <v/>
      </c>
      <c r="G3" s="6">
        <f>'Huong dan'!$B$10</f>
        <v/>
      </c>
      <c r="H3" s="6">
        <f>F3+G3</f>
        <v/>
      </c>
      <c r="I3" s="4">
        <f>F3/1000000*'Huong dan'!$B$11</f>
        <v/>
      </c>
      <c r="J3" s="4">
        <f>G3/1000000*'Huong dan'!$B$12</f>
        <v/>
      </c>
      <c r="K3" s="4">
        <f>I3+J3</f>
        <v/>
      </c>
    </row>
    <row r="4">
      <c r="A4" s="6" t="inlineStr">
        <is>
          <t>20 phút</t>
        </is>
      </c>
      <c r="B4" s="6" t="n">
        <v>20</v>
      </c>
      <c r="C4" s="6">
        <f>B4*'Huong dan'!$B$7</f>
        <v/>
      </c>
      <c r="D4" s="6">
        <f>C4*'Huong dan'!$B$8</f>
        <v/>
      </c>
      <c r="E4" s="6">
        <f>'Huong dan'!$B$9</f>
        <v/>
      </c>
      <c r="F4" s="6">
        <f>D4+E4</f>
        <v/>
      </c>
      <c r="G4" s="6">
        <f>'Huong dan'!$B$10</f>
        <v/>
      </c>
      <c r="H4" s="6">
        <f>F4+G4</f>
        <v/>
      </c>
      <c r="I4" s="4">
        <f>F4/1000000*'Huong dan'!$B$11</f>
        <v/>
      </c>
      <c r="J4" s="4">
        <f>G4/1000000*'Huong dan'!$B$12</f>
        <v/>
      </c>
      <c r="K4" s="4">
        <f>I4+J4</f>
        <v/>
      </c>
    </row>
    <row r="5">
      <c r="A5" s="6" t="inlineStr">
        <is>
          <t>30 phút</t>
        </is>
      </c>
      <c r="B5" s="6" t="n">
        <v>30</v>
      </c>
      <c r="C5" s="6">
        <f>B5*'Huong dan'!$B$7</f>
        <v/>
      </c>
      <c r="D5" s="6">
        <f>C5*'Huong dan'!$B$8</f>
        <v/>
      </c>
      <c r="E5" s="6">
        <f>'Huong dan'!$B$9</f>
        <v/>
      </c>
      <c r="F5" s="6">
        <f>D5+E5</f>
        <v/>
      </c>
      <c r="G5" s="6">
        <f>'Huong dan'!$B$10</f>
        <v/>
      </c>
      <c r="H5" s="6">
        <f>F5+G5</f>
        <v/>
      </c>
      <c r="I5" s="4">
        <f>F5/1000000*'Huong dan'!$B$11</f>
        <v/>
      </c>
      <c r="J5" s="4">
        <f>G5/1000000*'Huong dan'!$B$12</f>
        <v/>
      </c>
      <c r="K5" s="4">
        <f>I5+J5</f>
        <v/>
      </c>
    </row>
    <row r="6">
      <c r="A6" s="6" t="inlineStr">
        <is>
          <t>1 giờ</t>
        </is>
      </c>
      <c r="B6" s="6" t="n">
        <v>60</v>
      </c>
      <c r="C6" s="6">
        <f>B6*'Huong dan'!$B$7</f>
        <v/>
      </c>
      <c r="D6" s="6">
        <f>C6*'Huong dan'!$B$8</f>
        <v/>
      </c>
      <c r="E6" s="6">
        <f>'Huong dan'!$B$9</f>
        <v/>
      </c>
      <c r="F6" s="6">
        <f>D6+E6</f>
        <v/>
      </c>
      <c r="G6" s="6">
        <f>'Huong dan'!$B$10</f>
        <v/>
      </c>
      <c r="H6" s="6">
        <f>F6+G6</f>
        <v/>
      </c>
      <c r="I6" s="4">
        <f>F6/1000000*'Huong dan'!$B$11</f>
        <v/>
      </c>
      <c r="J6" s="4">
        <f>G6/1000000*'Huong dan'!$B$12</f>
        <v/>
      </c>
      <c r="K6" s="4">
        <f>I6+J6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3"/>
    <col width="16" customWidth="1" min="4" max="5"/>
    <col width="19" customWidth="1" min="6" max="6"/>
    <col width="20" customWidth="1" min="7" max="10"/>
  </cols>
  <sheetData>
    <row r="1" ht="32.1" customHeight="1">
      <c r="A1" s="7" t="inlineStr">
        <is>
          <t>Kịch bản</t>
        </is>
      </c>
      <c r="B1" s="7" t="inlineStr">
        <is>
          <t>Từ/phút</t>
        </is>
      </c>
      <c r="C1" s="7" t="inlineStr">
        <is>
          <t>Token/từ</t>
        </is>
      </c>
      <c r="D1" s="7" t="inlineStr">
        <is>
          <t>Prompt/request</t>
        </is>
      </c>
      <c r="E1" s="7" t="inlineStr">
        <is>
          <t>Output/request</t>
        </is>
      </c>
      <c r="F1" s="7" t="inlineStr">
        <is>
          <t>5 phút tổng token</t>
        </is>
      </c>
      <c r="G1" s="7" t="inlineStr">
        <is>
          <t>10 phút tổng token</t>
        </is>
      </c>
      <c r="H1" s="7" t="inlineStr">
        <is>
          <t>20 phút tổng token</t>
        </is>
      </c>
      <c r="I1" s="7" t="inlineStr">
        <is>
          <t>30 phút tổng token</t>
        </is>
      </c>
      <c r="J1" s="7" t="inlineStr">
        <is>
          <t>60 phút tổng token</t>
        </is>
      </c>
    </row>
    <row r="2">
      <c r="A2" s="6" t="inlineStr">
        <is>
          <t>Thấp</t>
        </is>
      </c>
      <c r="B2" s="6" t="n">
        <v>110</v>
      </c>
      <c r="C2" s="6" t="n">
        <v>1.2</v>
      </c>
      <c r="D2" s="6" t="n">
        <v>600</v>
      </c>
      <c r="E2" s="6" t="n">
        <v>700</v>
      </c>
      <c r="F2" s="6">
        <f>(5*B2*C2)+D2+E2</f>
        <v/>
      </c>
      <c r="G2" s="6">
        <f>(10*B2*C2)+D2+E2</f>
        <v/>
      </c>
      <c r="H2" s="6">
        <f>(20*B2*C2)+D2+E2</f>
        <v/>
      </c>
      <c r="I2" s="6">
        <f>(30*B2*C2)+D2+E2</f>
        <v/>
      </c>
      <c r="J2" s="6">
        <f>(60*B2*C2)+D2+E2</f>
        <v/>
      </c>
    </row>
    <row r="3">
      <c r="A3" s="6" t="inlineStr">
        <is>
          <t>Điển hình</t>
        </is>
      </c>
      <c r="B3" s="6" t="n">
        <v>130</v>
      </c>
      <c r="C3" s="6" t="n">
        <v>1.5</v>
      </c>
      <c r="D3" s="6" t="n">
        <v>700</v>
      </c>
      <c r="E3" s="6" t="n">
        <v>1000</v>
      </c>
      <c r="F3" s="6">
        <f>(5*B3*C3)+D3+E3</f>
        <v/>
      </c>
      <c r="G3" s="6">
        <f>(10*B3*C3)+D3+E3</f>
        <v/>
      </c>
      <c r="H3" s="6">
        <f>(20*B3*C3)+D3+E3</f>
        <v/>
      </c>
      <c r="I3" s="6">
        <f>(30*B3*C3)+D3+E3</f>
        <v/>
      </c>
      <c r="J3" s="6">
        <f>(60*B3*C3)+D3+E3</f>
        <v/>
      </c>
    </row>
    <row r="4">
      <c r="A4" s="6" t="inlineStr">
        <is>
          <t>Cao</t>
        </is>
      </c>
      <c r="B4" s="6" t="n">
        <v>160</v>
      </c>
      <c r="C4" s="6" t="n">
        <v>1.9</v>
      </c>
      <c r="D4" s="6" t="n">
        <v>900</v>
      </c>
      <c r="E4" s="6" t="n">
        <v>1400</v>
      </c>
      <c r="F4" s="6">
        <f>(5*B4*C4)+D4+E4</f>
        <v/>
      </c>
      <c r="G4" s="6">
        <f>(10*B4*C4)+D4+E4</f>
        <v/>
      </c>
      <c r="H4" s="6">
        <f>(20*B4*C4)+D4+E4</f>
        <v/>
      </c>
      <c r="I4" s="6">
        <f>(30*B4*C4)+D4+E4</f>
        <v/>
      </c>
      <c r="J4" s="6">
        <f>(60*B4*C4)+D4+E4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4" customWidth="1" min="4" max="4"/>
    <col width="15" customWidth="1" min="5" max="5"/>
    <col width="14" customWidth="1" min="6" max="6"/>
    <col width="32" customWidth="1" min="7" max="8"/>
    <col width="18" customWidth="1" min="9" max="9"/>
    <col width="14" customWidth="1" min="10" max="11"/>
  </cols>
  <sheetData>
    <row r="1" ht="32.1" customHeight="1">
      <c r="A1" s="7" t="inlineStr">
        <is>
          <t>Ngày</t>
        </is>
      </c>
      <c r="B1" s="7" t="inlineStr">
        <is>
          <t>Video/API request</t>
        </is>
      </c>
      <c r="C1" s="7" t="inlineStr">
        <is>
          <t>Thời lượng phút</t>
        </is>
      </c>
      <c r="D1" s="7" t="inlineStr">
        <is>
          <t>Input tokens</t>
        </is>
      </c>
      <c r="E1" s="7" t="inlineStr">
        <is>
          <t>Output tokens</t>
        </is>
      </c>
      <c r="F1" s="7" t="inlineStr">
        <is>
          <t>Tổng tokens</t>
        </is>
      </c>
      <c r="G1" s="7" t="inlineStr">
        <is>
          <t>Chi phí input USD</t>
        </is>
      </c>
      <c r="H1" s="7" t="inlineStr">
        <is>
          <t>Chi phí output USD</t>
        </is>
      </c>
      <c r="I1" s="7" t="inlineStr">
        <is>
          <t>Tổng chi phí USD</t>
        </is>
      </c>
      <c r="J1" s="7" t="inlineStr">
        <is>
          <t>Model</t>
        </is>
      </c>
      <c r="K1" s="7" t="inlineStr">
        <is>
          <t>Ghi chú</t>
        </is>
      </c>
    </row>
    <row r="2">
      <c r="A2" s="9" t="n">
        <v>46284.04845915509</v>
      </c>
      <c r="B2" t="inlineStr">
        <is>
          <t>Improve your Speaking and Conversational skills with me</t>
        </is>
      </c>
      <c r="C2" t="n">
        <v>4.25</v>
      </c>
      <c r="D2">
        <f>ROUND(674*'Huong dan'!$B$8,0)+'Huong dan'!$B$9</f>
        <v/>
      </c>
      <c r="E2">
        <f>'Huong dan'!$B$10</f>
        <v/>
      </c>
      <c r="F2">
        <f>D2+E2</f>
        <v/>
      </c>
      <c r="G2">
        <f>D2/1000000*'Huong dan'!$B$11</f>
        <v/>
      </c>
      <c r="H2">
        <f>E2/1000000*'Huong dan'!$B$12</f>
        <v/>
      </c>
      <c r="I2">
        <f>G2+H2</f>
        <v/>
      </c>
      <c r="J2" t="inlineStr">
        <is>
          <t>gemini-2.5-flash (estimate)</t>
        </is>
      </c>
      <c r="K2" t="inlineStr">
        <is>
          <t>Firebase transcript estimate; 674 condensed words; 72 segments</t>
        </is>
      </c>
    </row>
    <row r="3">
      <c r="A3" s="9" t="n">
        <v>46297.15084766204</v>
      </c>
      <c r="B3" t="inlineStr">
        <is>
          <t>45 Minute English Lesson: Vocabulary, Grammar, Pronunciation</t>
        </is>
      </c>
      <c r="C3" t="n">
        <v>40.98</v>
      </c>
      <c r="D3">
        <f>ROUND(1713*'Huong dan'!$B$8,0)+'Huong dan'!$B$9</f>
        <v/>
      </c>
      <c r="E3">
        <f>'Huong dan'!$B$10</f>
        <v/>
      </c>
      <c r="F3">
        <f>D3+E3</f>
        <v/>
      </c>
      <c r="G3">
        <f>D3/1000000*'Huong dan'!$B$11</f>
        <v/>
      </c>
      <c r="H3">
        <f>E3/1000000*'Huong dan'!$B$12</f>
        <v/>
      </c>
      <c r="I3">
        <f>G3+H3</f>
        <v/>
      </c>
      <c r="J3" t="inlineStr">
        <is>
          <t>gemini-2.5-flash (estimate)</t>
        </is>
      </c>
      <c r="K3" t="inlineStr">
        <is>
          <t>Firebase transcript estimate; 1713 condensed words; 729 segments</t>
        </is>
      </c>
    </row>
    <row r="4">
      <c r="A4" s="9" t="n">
        <v>46290.16607435185</v>
      </c>
      <c r="B4" t="inlineStr">
        <is>
          <t>Stop Learning Japanese. Watch This Instead.</t>
        </is>
      </c>
      <c r="C4" t="n">
        <v>3.1</v>
      </c>
      <c r="D4">
        <f>ROUND(554*'Huong dan'!$B$8,0)+'Huong dan'!$B$9</f>
        <v/>
      </c>
      <c r="E4">
        <f>'Huong dan'!$B$10</f>
        <v/>
      </c>
      <c r="F4">
        <f>D4+E4</f>
        <v/>
      </c>
      <c r="G4">
        <f>D4/1000000*'Huong dan'!$B$11</f>
        <v/>
      </c>
      <c r="H4">
        <f>E4/1000000*'Huong dan'!$B$12</f>
        <v/>
      </c>
      <c r="I4">
        <f>G4+H4</f>
        <v/>
      </c>
      <c r="J4" t="inlineStr">
        <is>
          <t>gemini-2.5-flash (estimate)</t>
        </is>
      </c>
      <c r="K4" t="inlineStr">
        <is>
          <t>Firebase transcript estimate; 554 condensed words; 64 segments</t>
        </is>
      </c>
    </row>
    <row r="5">
      <c r="A5" s="9" t="n">
        <v>46284.04901921297</v>
      </c>
      <c r="B5" t="inlineStr">
        <is>
          <t>Improve your Speaking and Conversational skills with me / English Speaking Practice</t>
        </is>
      </c>
      <c r="C5" t="n">
        <v>8.02</v>
      </c>
      <c r="D5">
        <f>ROUND(1165*'Huong dan'!$B$8,0)+'Huong dan'!$B$9</f>
        <v/>
      </c>
      <c r="E5">
        <f>'Huong dan'!$B$10</f>
        <v/>
      </c>
      <c r="F5">
        <f>D5+E5</f>
        <v/>
      </c>
      <c r="G5">
        <f>D5/1000000*'Huong dan'!$B$11</f>
        <v/>
      </c>
      <c r="H5">
        <f>E5/1000000*'Huong dan'!$B$12</f>
        <v/>
      </c>
      <c r="I5">
        <f>G5+H5</f>
        <v/>
      </c>
      <c r="J5" t="inlineStr">
        <is>
          <t>gemini-2.5-flash (estimate)</t>
        </is>
      </c>
      <c r="K5" t="inlineStr">
        <is>
          <t>Firebase transcript estimate; 1165 condensed words; 65 segments</t>
        </is>
      </c>
    </row>
    <row r="6">
      <c r="A6" s="9" t="n">
        <v>46297.14517907408</v>
      </c>
      <c r="B6" t="inlineStr">
        <is>
          <t>Comprehensible Japanese - Let's learn Japanese in the park!! 【Beginner】 [rjmKQ-fjnyQ]</t>
        </is>
      </c>
      <c r="C6" t="n">
        <v>0</v>
      </c>
      <c r="D6">
        <f>ROUND(512*'Huong dan'!$B$8,0)+'Huong dan'!$B$9</f>
        <v/>
      </c>
      <c r="E6">
        <f>'Huong dan'!$B$10</f>
        <v/>
      </c>
      <c r="F6">
        <f>D6+E6</f>
        <v/>
      </c>
      <c r="G6">
        <f>D6/1000000*'Huong dan'!$B$11</f>
        <v/>
      </c>
      <c r="H6">
        <f>E6/1000000*'Huong dan'!$B$12</f>
        <v/>
      </c>
      <c r="I6">
        <f>G6+H6</f>
        <v/>
      </c>
      <c r="J6" t="inlineStr">
        <is>
          <t>gemini-2.5-flash (estimate)</t>
        </is>
      </c>
      <c r="K6" t="inlineStr">
        <is>
          <t>Firebase transcript estimate; 512 condensed words; 85 segments</t>
        </is>
      </c>
    </row>
    <row r="7">
      <c r="A7" s="9" t="n">
        <v>46296.33549783565</v>
      </c>
      <c r="B7" t="inlineStr">
        <is>
          <t>30-Minute English Study Routine</t>
        </is>
      </c>
      <c r="C7" t="n">
        <v>21.7</v>
      </c>
      <c r="D7">
        <f>ROUND(1716*'Huong dan'!$B$8,0)+'Huong dan'!$B$9</f>
        <v/>
      </c>
      <c r="E7">
        <f>'Huong dan'!$B$10</f>
        <v/>
      </c>
      <c r="F7">
        <f>D7+E7</f>
        <v/>
      </c>
      <c r="G7">
        <f>D7/1000000*'Huong dan'!$B$11</f>
        <v/>
      </c>
      <c r="H7">
        <f>E7/1000000*'Huong dan'!$B$12</f>
        <v/>
      </c>
      <c r="I7">
        <f>G7+H7</f>
        <v/>
      </c>
      <c r="J7" t="inlineStr">
        <is>
          <t>gemini-2.5-flash (estimate)</t>
        </is>
      </c>
      <c r="K7" t="inlineStr">
        <is>
          <t>Firebase transcript estimate; 1716 condensed words; 316 segments</t>
        </is>
      </c>
    </row>
    <row r="8">
      <c r="A8" s="9" t="n">
        <v>46284.07271414352</v>
      </c>
      <c r="B8" t="inlineStr">
        <is>
          <t>Learn How to Think In English ( Stop Translating in Your Head )</t>
        </is>
      </c>
      <c r="C8" t="n">
        <v>6.5</v>
      </c>
      <c r="D8">
        <f>ROUND(1701*'Huong dan'!$B$8,0)+'Huong dan'!$B$9</f>
        <v/>
      </c>
      <c r="E8">
        <f>'Huong dan'!$B$10</f>
        <v/>
      </c>
      <c r="F8">
        <f>D8+E8</f>
        <v/>
      </c>
      <c r="G8">
        <f>D8/1000000*'Huong dan'!$B$11</f>
        <v/>
      </c>
      <c r="H8">
        <f>E8/1000000*'Huong dan'!$B$12</f>
        <v/>
      </c>
      <c r="I8">
        <f>G8+H8</f>
        <v/>
      </c>
      <c r="J8" t="inlineStr">
        <is>
          <t>gemini-2.5-flash (estimate)</t>
        </is>
      </c>
      <c r="K8" t="inlineStr">
        <is>
          <t>Firebase transcript estimate; 1701 condensed words; 110 segments</t>
        </is>
      </c>
    </row>
    <row r="9">
      <c r="A9" s="9" t="n">
        <v>46290.18249613426</v>
      </c>
      <c r="B9" t="inlineStr">
        <is>
          <t>How to Order Things in Japanese</t>
        </is>
      </c>
      <c r="C9" t="n">
        <v>3.62</v>
      </c>
      <c r="D9">
        <f>ROUND(336*'Huong dan'!$B$8,0)+'Huong dan'!$B$9</f>
        <v/>
      </c>
      <c r="E9">
        <f>'Huong dan'!$B$10</f>
        <v/>
      </c>
      <c r="F9">
        <f>D9+E9</f>
        <v/>
      </c>
      <c r="G9">
        <f>D9/1000000*'Huong dan'!$B$11</f>
        <v/>
      </c>
      <c r="H9">
        <f>E9/1000000*'Huong dan'!$B$12</f>
        <v/>
      </c>
      <c r="I9">
        <f>G9+H9</f>
        <v/>
      </c>
      <c r="J9" t="inlineStr">
        <is>
          <t>gemini-2.5-flash (estimate)</t>
        </is>
      </c>
      <c r="K9" t="inlineStr">
        <is>
          <t>Firebase transcript estimate; 336 condensed words; 19 segments</t>
        </is>
      </c>
    </row>
    <row r="10">
      <c r="A10" s="9" t="n">
        <v>46284.0544793287</v>
      </c>
      <c r="B10" t="inlineStr">
        <is>
          <t>Do you forget words when you speak English | Please watch this video...</t>
        </is>
      </c>
      <c r="C10" t="n">
        <v>4.63</v>
      </c>
      <c r="D10">
        <f>ROUND(833*'Huong dan'!$B$8,0)+'Huong dan'!$B$9</f>
        <v/>
      </c>
      <c r="E10">
        <f>'Huong dan'!$B$10</f>
        <v/>
      </c>
      <c r="F10">
        <f>D10+E10</f>
        <v/>
      </c>
      <c r="G10">
        <f>D10/1000000*'Huong dan'!$B$11</f>
        <v/>
      </c>
      <c r="H10">
        <f>E10/1000000*'Huong dan'!$B$12</f>
        <v/>
      </c>
      <c r="I10">
        <f>G10+H10</f>
        <v/>
      </c>
      <c r="J10" t="inlineStr">
        <is>
          <t>gemini-2.5-flash (estimate)</t>
        </is>
      </c>
      <c r="K10" t="inlineStr">
        <is>
          <t>Firebase transcript estimate; 833 condensed words; 99 segments</t>
        </is>
      </c>
    </row>
    <row r="11">
      <c r="A11" s="9" t="n">
        <v>46304.37468361111</v>
      </c>
      <c r="B11" t="inlineStr">
        <is>
          <t>Know My Name</t>
        </is>
      </c>
      <c r="C11" t="n">
        <v>1.53</v>
      </c>
      <c r="D11">
        <f>ROUND(123*'Huong dan'!$B$8,0)+'Huong dan'!$B$9</f>
        <v/>
      </c>
      <c r="E11">
        <f>'Huong dan'!$B$10</f>
        <v/>
      </c>
      <c r="F11">
        <f>D11+E11</f>
        <v/>
      </c>
      <c r="G11">
        <f>D11/1000000*'Huong dan'!$B$11</f>
        <v/>
      </c>
      <c r="H11">
        <f>E11/1000000*'Huong dan'!$B$12</f>
        <v/>
      </c>
      <c r="I11">
        <f>G11+H11</f>
        <v/>
      </c>
      <c r="J11" t="inlineStr">
        <is>
          <t>gemini-2.5-flash (estimate)</t>
        </is>
      </c>
      <c r="K11" t="inlineStr">
        <is>
          <t>Firebase transcript estimate; 123 condensed words; 11 segments</t>
        </is>
      </c>
    </row>
    <row r="12">
      <c r="A12" s="9" t="n">
        <v>46296.35144234954</v>
      </c>
      <c r="B12" t="inlineStr">
        <is>
          <t>45 Minute English Lesson: Vocabulary, Grammar, Pronunciation</t>
        </is>
      </c>
      <c r="C12" t="n">
        <v>46.78</v>
      </c>
      <c r="D12">
        <f>ROUND(1674*'Huong dan'!$B$8,0)+'Huong dan'!$B$9</f>
        <v/>
      </c>
      <c r="E12">
        <f>'Huong dan'!$B$10</f>
        <v/>
      </c>
      <c r="F12">
        <f>D12+E12</f>
        <v/>
      </c>
      <c r="G12">
        <f>D12/1000000*'Huong dan'!$B$11</f>
        <v/>
      </c>
      <c r="H12">
        <f>E12/1000000*'Huong dan'!$B$12</f>
        <v/>
      </c>
      <c r="I12">
        <f>G12+H12</f>
        <v/>
      </c>
      <c r="J12" t="inlineStr">
        <is>
          <t>gemini-2.5-flash (estimate)</t>
        </is>
      </c>
      <c r="K12" t="inlineStr">
        <is>
          <t>Firebase transcript estimate; 1674 condensed words; 284 segments</t>
        </is>
      </c>
    </row>
    <row r="13">
      <c r="A13" s="9" t="n">
        <v>46304.27187594907</v>
      </c>
      <c r="B13" t="inlineStr">
        <is>
          <t>The Japanese Interview - Real Real Japan</t>
        </is>
      </c>
      <c r="C13" t="n">
        <v>6.6</v>
      </c>
      <c r="D13">
        <f>ROUND(385*'Huong dan'!$B$8,0)+'Huong dan'!$B$9</f>
        <v/>
      </c>
      <c r="E13">
        <f>'Huong dan'!$B$10</f>
        <v/>
      </c>
      <c r="F13">
        <f>D13+E13</f>
        <v/>
      </c>
      <c r="G13">
        <f>D13/1000000*'Huong dan'!$B$11</f>
        <v/>
      </c>
      <c r="H13">
        <f>E13/1000000*'Huong dan'!$B$12</f>
        <v/>
      </c>
      <c r="I13">
        <f>G13+H13</f>
        <v/>
      </c>
      <c r="J13" t="inlineStr">
        <is>
          <t>gemini-2.5-flash (estimate)</t>
        </is>
      </c>
      <c r="K13" t="inlineStr">
        <is>
          <t>Firebase transcript estimate; 385 condensed words; 99 segments</t>
        </is>
      </c>
    </row>
    <row r="14">
      <c r="A14" s="9" t="n">
        <v>46286.27841474537</v>
      </c>
      <c r="B14" t="inlineStr">
        <is>
          <t>How to Improve Your English Speaking Skills (by Yourself)</t>
        </is>
      </c>
      <c r="C14" t="n">
        <v>4.58</v>
      </c>
      <c r="D14">
        <f>ROUND(924*'Huong dan'!$B$8,0)+'Huong dan'!$B$9</f>
        <v/>
      </c>
      <c r="E14">
        <f>'Huong dan'!$B$10</f>
        <v/>
      </c>
      <c r="F14">
        <f>D14+E14</f>
        <v/>
      </c>
      <c r="G14">
        <f>D14/1000000*'Huong dan'!$B$11</f>
        <v/>
      </c>
      <c r="H14">
        <f>E14/1000000*'Huong dan'!$B$12</f>
        <v/>
      </c>
      <c r="I14">
        <f>G14+H14</f>
        <v/>
      </c>
      <c r="J14" t="inlineStr">
        <is>
          <t>gemini-2.5-flash (estimate)</t>
        </is>
      </c>
      <c r="K14" t="inlineStr">
        <is>
          <t>Firebase transcript estimate; 924 condensed words; 70 segments</t>
        </is>
      </c>
    </row>
    <row r="15">
      <c r="A15" s="9" t="n">
        <v>46296.37014708333</v>
      </c>
      <c r="B15" t="inlineStr">
        <is>
          <t>Improve your English Speaking and Conversational Skills/ 45 min English Speaking Practice</t>
        </is>
      </c>
      <c r="C15" t="n">
        <v>44.77</v>
      </c>
      <c r="D15">
        <f>ROUND(1718*'Huong dan'!$B$8,0)+'Huong dan'!$B$9</f>
        <v/>
      </c>
      <c r="E15">
        <f>'Huong dan'!$B$10</f>
        <v/>
      </c>
      <c r="F15">
        <f>D15+E15</f>
        <v/>
      </c>
      <c r="G15">
        <f>D15/1000000*'Huong dan'!$B$11</f>
        <v/>
      </c>
      <c r="H15">
        <f>E15/1000000*'Huong dan'!$B$12</f>
        <v/>
      </c>
      <c r="I15">
        <f>G15+H15</f>
        <v/>
      </c>
      <c r="J15" t="inlineStr">
        <is>
          <t>gemini-2.5-flash (estimate)</t>
        </is>
      </c>
      <c r="K15" t="inlineStr">
        <is>
          <t>Firebase transcript estimate; 1718 condensed words; 253 segments</t>
        </is>
      </c>
    </row>
    <row r="16">
      <c r="A16" s="9" t="n">
        <v>46291.06842237269</v>
      </c>
      <c r="B16" t="inlineStr">
        <is>
          <t>How to Say Hello in Japanese</t>
        </is>
      </c>
      <c r="C16" t="n">
        <v>3.35</v>
      </c>
      <c r="D16">
        <f>ROUND(421*'Huong dan'!$B$8,0)+'Huong dan'!$B$9</f>
        <v/>
      </c>
      <c r="E16">
        <f>'Huong dan'!$B$10</f>
        <v/>
      </c>
      <c r="F16">
        <f>D16+E16</f>
        <v/>
      </c>
      <c r="G16">
        <f>D16/1000000*'Huong dan'!$B$11</f>
        <v/>
      </c>
      <c r="H16">
        <f>E16/1000000*'Huong dan'!$B$12</f>
        <v/>
      </c>
      <c r="I16">
        <f>G16+H16</f>
        <v/>
      </c>
      <c r="J16" t="inlineStr">
        <is>
          <t>gemini-2.5-flash (estimate)</t>
        </is>
      </c>
      <c r="K16" t="inlineStr">
        <is>
          <t>Firebase transcript estimate; 421 condensed words; 53 segments</t>
        </is>
      </c>
    </row>
    <row r="17">
      <c r="A17" s="9" t="n">
        <v>46290.21603583333</v>
      </c>
      <c r="B17" t="inlineStr">
        <is>
          <t>Mr. Garvey Is Your Substitute Teacher - Key &amp; Peele</t>
        </is>
      </c>
      <c r="C17" t="n">
        <v>6.5</v>
      </c>
      <c r="D17">
        <f>ROUND(976*'Huong dan'!$B$8,0)+'Huong dan'!$B$9</f>
        <v/>
      </c>
      <c r="E17">
        <f>'Huong dan'!$B$10</f>
        <v/>
      </c>
      <c r="F17">
        <f>D17+E17</f>
        <v/>
      </c>
      <c r="G17">
        <f>D17/1000000*'Huong dan'!$B$11</f>
        <v/>
      </c>
      <c r="H17">
        <f>E17/1000000*'Huong dan'!$B$12</f>
        <v/>
      </c>
      <c r="I17">
        <f>G17+H17</f>
        <v/>
      </c>
      <c r="J17" t="inlineStr">
        <is>
          <t>gemini-2.5-flash (estimate)</t>
        </is>
      </c>
      <c r="K17" t="inlineStr">
        <is>
          <t>Firebase transcript estimate; 976 condensed words; 163 segments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2026-10-15T07:57:47Z</dcterms:created>
  <dcterms:modified xsi:type="dcterms:W3CDTF">2026-10-15T08:01:44Z</dcterms:modified>
  <cp:lastModifiedBy>Long Khánh</cp:lastModifiedBy>
</cp:coreProperties>
</file>